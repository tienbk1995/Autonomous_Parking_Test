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d.docs.live.net/ed6fcd04221c3a95/Desktop/Halmstad_2026/Programme/Materials/Semester_1/Network_Testing_For_Embedded_Systems_DT8076/Software_Testing/Project/JUnit/Documents/Personal/Tien/"/>
    </mc:Choice>
  </mc:AlternateContent>
  <xr:revisionPtr revIDLastSave="443" documentId="11_8DD0A6E3F77B3027421568632296CCE25B29A560" xr6:coauthVersionLast="47" xr6:coauthVersionMax="47" xr10:uidLastSave="{FDFC1906-1E93-4F7D-896A-B299F0077AC5}"/>
  <bookViews>
    <workbookView xWindow="-108" yWindow="-108" windowWidth="23256" windowHeight="12456" tabRatio="861" activeTab="1" xr2:uid="{00000000-000D-0000-FFFF-FFFF00000000}"/>
  </bookViews>
  <sheets>
    <sheet name="Unit Design Park" sheetId="3" r:id="rId1"/>
    <sheet name="Decision_Table" sheetId="4" r:id="rId2"/>
  </sheets>
  <externalReferences>
    <externalReference r:id="rId3"/>
  </externalReferences>
  <definedNames>
    <definedName name="C0_coverage">'Unit Design Park'!$D$4</definedName>
    <definedName name="Result_Component_test">'[1]Integration Test Specification'!$H$30</definedName>
    <definedName name="Start_design_IDs">'Unit Design Park'!$C$12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3" l="1"/>
  <c r="D8"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Denis Ludwig</author>
    <author>lgd2si</author>
    <author>lno2si</author>
  </authors>
  <commentList>
    <comment ref="B2" authorId="0" shapeId="0" xr:uid="{00000000-0006-0000-0200-000001000000}">
      <text>
        <r>
          <rPr>
            <sz val="10"/>
            <color theme="1"/>
            <rFont val="Arial"/>
            <family val="2"/>
          </rPr>
          <t>All test cases in this test specification are executed in a simulated environment (e.g. VectorCast). 
- For the work flow please refer to the picture in the tab “instructions”. 
- All your test cases shall be derived only from the SDS. As soon as write you test script is allowed to have a look at the code and determine e.g. the global variables which have to be manipulated. Now it can also be helpful to note down the names of the variables in the test case description. 
- Target of the test is 100% SDS coverage, 100% code coverage (C0, C1 &amp; MC/DC) and 100% interfaces verification (provided APIs verified for all equivalence classes of the parameters)
Additional hints:
- Some input values (e.g. global variables) for an function seem to have always a defined value or are always in a defined range. Please check during testing, if this is really always true. If you find out, that it is not true then talk to the module responsible, if this is intended and eventually create test cases where the preconditions are not met.
- Use the SDTS review checklist as a help during developing the test cases.</t>
        </r>
      </text>
    </comment>
    <comment ref="H2" authorId="0" shapeId="0" xr:uid="{00000000-0006-0000-0200-000002000000}">
      <text>
        <r>
          <rPr>
            <sz val="10"/>
            <color theme="1"/>
            <rFont val="Arial"/>
            <family val="2"/>
          </rPr>
          <t>link to A-Spice tooling description: https://inside-docupedia.bosch.com/confluence/display/aeos/ASPICE+supporting+tools
for detailed design in Rhapsody, refer to https://inside-docupedia.bosch.com/confluence/display/aeos/Pilot+for+Rhapsody+detailed+design</t>
        </r>
      </text>
    </comment>
    <comment ref="E3" authorId="0" shapeId="0" xr:uid="{00000000-0006-0000-0200-000003000000}">
      <text>
        <r>
          <rPr>
            <sz val="10"/>
            <color theme="1"/>
            <rFont val="Arial"/>
            <family val="2"/>
          </rPr>
          <t>To verify the design coverage use the two macros in line 2</t>
        </r>
      </text>
    </comment>
    <comment ref="H3" authorId="0" shapeId="0" xr:uid="{00000000-0006-0000-0200-000004000000}">
      <text>
        <r>
          <rPr>
            <sz val="10"/>
            <color theme="1"/>
            <rFont val="Arial"/>
            <family val="2"/>
          </rPr>
          <t xml:space="preserve">Fill out this field only for detailed design in SDS, not when using Rhapsody
</t>
        </r>
      </text>
    </comment>
    <comment ref="E4" authorId="0" shapeId="0" xr:uid="{00000000-0006-0000-0200-000005000000}">
      <text>
        <r>
          <rPr>
            <sz val="10"/>
            <color theme="1"/>
            <rFont val="Arial"/>
            <family val="2"/>
          </rPr>
          <t xml:space="preserve">If you've selected "coverage not fulfilled", enter the concrete coverage value
</t>
        </r>
      </text>
    </comment>
    <comment ref="E5" authorId="0" shapeId="0" xr:uid="{00000000-0006-0000-0200-000006000000}">
      <text>
        <r>
          <rPr>
            <sz val="10"/>
            <color theme="1"/>
            <rFont val="Arial"/>
            <family val="2"/>
          </rPr>
          <t xml:space="preserve">If you've selected "coverage not fulfilled", enter the concrete coverage value
</t>
        </r>
      </text>
    </comment>
    <comment ref="H5" authorId="0" shapeId="0" xr:uid="{00000000-0006-0000-0200-000007000000}">
      <text>
        <r>
          <rPr>
            <sz val="10"/>
            <color theme="1"/>
            <rFont val="Arial"/>
            <family val="2"/>
          </rPr>
          <t>Allowed standard deviations are coming from defensive programming (e.g. protection against devision through zero, default states) or when waiting for HW-events. 
All other deviations have to be approved</t>
        </r>
      </text>
    </comment>
    <comment ref="E6" authorId="0" shapeId="0" xr:uid="{00000000-0006-0000-0200-000008000000}">
      <text>
        <r>
          <rPr>
            <sz val="10"/>
            <color theme="1"/>
            <rFont val="Arial"/>
            <family val="2"/>
          </rPr>
          <t xml:space="preserve">If you've selected "coverage not fulfilled", enter the concrete coverage value
</t>
        </r>
      </text>
    </comment>
    <comment ref="B12" authorId="1" shapeId="0" xr:uid="{00000000-0006-0000-0200-000009000000}">
      <text>
        <r>
          <rPr>
            <sz val="10"/>
            <color theme="1"/>
            <rFont val="Arial"/>
            <family val="2"/>
          </rPr>
          <t xml:space="preserve">Enter a test case identifier.
This identifier is used for the traceability into the test script.  Enter the test case ID in the notes of the test case in VectorCast.
All test cases for one selection of design elements shall be clubbed by a naming convention for the identifier. This avoids wrong assignments of "empty" lines to a "master" testcase when adding new lines.
design element with 2 test cases:
SDTS_ID_x_1
SDTS_ID_x_2
</t>
        </r>
      </text>
    </comment>
    <comment ref="C12" authorId="0" shapeId="0" xr:uid="{00000000-0006-0000-0200-00000A000000}">
      <text>
        <r>
          <rPr>
            <sz val="10"/>
            <color theme="1"/>
            <rFont val="Arial"/>
            <family val="2"/>
          </rPr>
          <t>All test cases need to be linked to an SDS element, also if derived from equivalence classes partitioning and/or boundary value analysis
If a test case is required and cannot be linked to a design element the SDS needs to be updated</t>
        </r>
      </text>
    </comment>
    <comment ref="D12" authorId="1" shapeId="0" xr:uid="{00000000-0006-0000-0200-00000B000000}">
      <text>
        <r>
          <rPr>
            <sz val="10"/>
            <color theme="1"/>
            <rFont val="Arial"/>
            <family val="2"/>
          </rPr>
          <t xml:space="preserve">Enter the name of the function to test
The function name will be generated into the skeleton of the Vector Cast script
</t>
        </r>
      </text>
    </comment>
    <comment ref="F12" authorId="0" shapeId="0" xr:uid="{00000000-0006-0000-0200-00000C000000}">
      <text>
        <r>
          <rPr>
            <sz val="10"/>
            <color theme="1"/>
            <rFont val="Arial"/>
            <family val="2"/>
          </rPr>
          <t xml:space="preserve">Typically a unit test can completly be executed with one maximum configuration. 
If you need different configurations (that cannot be reached by manipulating the inputs; like a compiler switch) to reach the coverage use this column.
The changes to create the different configurations file can be stored locally as long as they are documented in this column
Once you have two or more scripts for one module, each script must fulfill the code coverage. If the input or the expected values for the common test cases differ, duplicate the test cases
The SDS coverage is fulfilled by the SDTS.
Take this also into account for the execution planning to minimise the amount of recompilations </t>
        </r>
      </text>
    </comment>
    <comment ref="G12" authorId="0" shapeId="0" xr:uid="{00000000-0006-0000-0200-00000D000000}">
      <text>
        <r>
          <rPr>
            <sz val="10"/>
            <color theme="1"/>
            <rFont val="Arial"/>
            <family val="2"/>
          </rPr>
          <t xml:space="preserve">design based test cases
Test cases shall be derived from the design elements using test design techniques. As a default the test design techniques "boundary value analysis", "equivalence classes" and MC/DC shall be used. If required, also other test design techniques like "error guessing", "decision tables" or "state transitions" can support the generation of test cases.
- If a test case is identified by using a test design techniques this shall be documented. 
- If a technique leads to additional test cases, (beyond SDS coverage criteria) add the SDS has to be adapted
Test design techniques:
- A test design technique helps  to select a good set of tests from the total number of all possible tests for a given system. 
- a red field in the template means that no test design technique is selected
Additional information on the test design test techniques can be found here: 
https://inside-wiki.bosch.com/confluence/display/aeos/Subproject+Creation
</t>
        </r>
      </text>
    </comment>
    <comment ref="I12" authorId="0" shapeId="0" xr:uid="{00000000-0006-0000-0200-00000E000000}">
      <text>
        <r>
          <rPr>
            <sz val="10"/>
            <color theme="1"/>
            <rFont val="Arial"/>
            <family val="2"/>
          </rPr>
          <t xml:space="preserve">It is important to verify all outputs of your functions.
 E.g. if your function calls a n other function to switch of the algorithm, verify the function to disable the algorithm is called / called with the proper parameter
</t>
        </r>
      </text>
    </comment>
    <comment ref="J12" authorId="2" shapeId="0" xr:uid="{00000000-0006-0000-0200-00000F000000}">
      <text>
        <r>
          <rPr>
            <sz val="10"/>
            <color theme="1"/>
            <rFont val="Arial"/>
            <family val="2"/>
          </rPr>
          <t xml:space="preserve">Choose the test case result.
Passed - The received result matches the expected result
Failed - The received result differs from the expected result
Not done - The test case was not executed
</t>
        </r>
      </text>
    </comment>
  </commentList>
</comments>
</file>

<file path=xl/sharedStrings.xml><?xml version="1.0" encoding="utf-8"?>
<sst xmlns="http://schemas.openxmlformats.org/spreadsheetml/2006/main" count="86" uniqueCount="62">
  <si>
    <t>Test execution</t>
  </si>
  <si>
    <t>Not done</t>
  </si>
  <si>
    <t xml:space="preserve">
</t>
  </si>
  <si>
    <t>Unit Design Test</t>
  </si>
  <si>
    <t>100% SDS coverage
(all SDS elements are covered by one or more test cases)</t>
  </si>
  <si>
    <t>Version of SDS file</t>
  </si>
  <si>
    <t>C0 coverage</t>
  </si>
  <si>
    <t>C1 coverage</t>
  </si>
  <si>
    <t>MC/DC coverage</t>
  </si>
  <si>
    <t>result of all unit design test cases</t>
  </si>
  <si>
    <t>(all test cases have passed if actual result = expected result)</t>
  </si>
  <si>
    <t>Overall test result for unit design test</t>
  </si>
  <si>
    <t>Unit design test cases
(all test cases executed in simulated environment)</t>
  </si>
  <si>
    <t>Test specification</t>
  </si>
  <si>
    <t>Test case description
(describe how you want to test the design element(s))</t>
  </si>
  <si>
    <t>Preconditions for test case
(e.g. setting of a compiler switch)
(remove from view if you do not need it)</t>
  </si>
  <si>
    <t>Test design technique (Functional Test,Boundary Value Analysis,Equivalence Class Partitioning,MC/DC,Error Guessing,Others)</t>
  </si>
  <si>
    <t>Input
(definition of all input values. This includes all parameters of the function call, used global variables and return values of stubbed interfaces)</t>
  </si>
  <si>
    <t>Expected result
(return values of tested function, content of global variables that shall be verified, value of parameters of stubs that are called, order of called stubs)</t>
  </si>
  <si>
    <t>Evaluation</t>
  </si>
  <si>
    <t>Function to test</t>
  </si>
  <si>
    <t xml:space="preserve">Execution planning
</t>
  </si>
  <si>
    <t>Remarks / attachment</t>
  </si>
  <si>
    <t>Manual</t>
  </si>
  <si>
    <t>Test case identifier
(TC_&lt;FunctionName&gt;_&lt;ID&gt;)</t>
  </si>
  <si>
    <t>Link to requirements
(&lt;ID&gt;)</t>
  </si>
  <si>
    <t>Conditions / Actions</t>
  </si>
  <si>
    <t>R1</t>
  </si>
  <si>
    <t>R2</t>
  </si>
  <si>
    <t>R3</t>
  </si>
  <si>
    <t>Yes</t>
  </si>
  <si>
    <t>No</t>
  </si>
  <si>
    <t>-</t>
  </si>
  <si>
    <t>Action: Move forward</t>
  </si>
  <si>
    <t>Final status</t>
  </si>
  <si>
    <t>PARKED</t>
  </si>
  <si>
    <t>UNPARKED</t>
  </si>
  <si>
    <t>TC_P_01</t>
  </si>
  <si>
    <t>Park()</t>
  </si>
  <si>
    <t>Car's parking status is currently UNPARKED
Car's position is in the range between 0 and 500 meters of the stretch</t>
  </si>
  <si>
    <t>Test car is already at the valid parking spot</t>
  </si>
  <si>
    <t>R8.1</t>
  </si>
  <si>
    <t>TC_P_02</t>
  </si>
  <si>
    <t>R8.2</t>
  </si>
  <si>
    <t>Car's parking status is currently UNPARKED
Car's position is in the range between 0 and 500 meters of the stretch
Valid parking spot is ahead within  0 and 500 meters of the stretch</t>
  </si>
  <si>
    <t>Decision Tables</t>
  </si>
  <si>
    <t>Test car is already at the invalid parking spot but found valid spot ahead</t>
  </si>
  <si>
    <t>freeSpotsLength = 5
currCarPosition = 50</t>
  </si>
  <si>
    <t>freeSpotsLength = 0
currCarPosition = 50
sensorData1Sets = {
                            {180, 180, 180, 180, 180},
                            {180, 180, 180, 180, 180},
                            {180, 180, 180, 180, 180},
                            {100, 100, 100, 100, 100},
                            {180, 180, 180, 180, 180},
                            {180, 180, 180, 180, 180},      
                            {180, 180, 180, 180, 180},      
                            {180, 180, 180, 180, 180},      
                            {180, 180, 180, 180, 180},
                            }                                 
sensorData2Sets = {
                            {180, 180, 180, 180, 180},
                            {180, 180, 180, 180, 180},
                            {180, 180, 180, 180, 180},
                            {100, 100, 100, 100, 100},
                            {180, 180, 180, 180, 180},
                            {180, 180, 180, 180, 180},      
                            {180, 180, 180, 180, 180},      
                            {180, 180, 180, 180, 180},      
                            {180, 180, 180, 180, 180},                              
                             }</t>
  </si>
  <si>
    <t>currParkingStatus = PARKED
freeSpotsLength = 0
currCarPosition = 59</t>
  </si>
  <si>
    <t>currParkingStatus = PARKED
currCarPosition = 50
freeSpotsLength = 0</t>
  </si>
  <si>
    <t>TC_P_03</t>
  </si>
  <si>
    <t>R8.3</t>
  </si>
  <si>
    <t>Test car is already at the invalid parking spot but not found valid spot until the end of the stretch</t>
  </si>
  <si>
    <t>Car's parking status is currently UNPARKED
Car's position is in the range between 0 and 500 meters of the stretch
Valid parking spot is unavailable</t>
  </si>
  <si>
    <t>currParkingStatus = UNPARKED
freeSpotsLength = 0
currCarPosition = 500</t>
  </si>
  <si>
    <t xml:space="preserve">freeSpotsLength = 0
currCarPosition = 495
sensorData1Sets = {
                            {100, 100, 100, 100, 100},
                            {100, 100, 100, 100, 100},
                            {100, 100, 100, 100, 100},
                            {100, 100, 100, 100, 100},
                            {100, 100, 100, 100, 100},
                            }                                 
sensorData2Sets = {
                            {100, 100, 100, 100, 100},
                            {100, 100, 100, 100, 100},
                            {100, 100, 100, 100, 100},
                            {100, 100, 100, 100, 100},
                            {100, 100, 100, 100, 100},
                            }                   </t>
  </si>
  <si>
    <t>Passed</t>
  </si>
  <si>
    <t>TestPark.java</t>
  </si>
  <si>
    <t>Valid stretch found ahead? (Car will move forward and a free parking spot is guaranteed before reaching the end of the stretch)</t>
  </si>
  <si>
    <t>Already at valid parking stretch? (Car can park, no need to move forward)</t>
  </si>
  <si>
    <t>End of street reached?  (Car will move forward but no free parking spot is found at the end of the stretch)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</si>
</sst>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0"/>
      <color theme="1"/>
      <name val="Arial"/>
      <family val="2"/>
    </font>
    <font>
      <sz val="10"/>
      <color rgb="FF3F3F76"/>
      <name val="Arial"/>
      <family val="2"/>
    </font>
    <font>
      <b/>
      <sz val="10"/>
      <color rgb="FF3F3F3F"/>
      <name val="Arial"/>
      <family val="2"/>
    </font>
    <font>
      <sz val="10"/>
      <name val="Arial"/>
      <family val="2"/>
    </font>
    <font>
      <b/>
      <sz val="14"/>
      <name val="Arial"/>
      <family val="2"/>
    </font>
    <font>
      <b/>
      <sz val="10"/>
      <name val="Arial"/>
      <family val="2"/>
    </font>
    <font>
      <sz val="10"/>
      <name val="Arial"/>
      <family val="2"/>
    </font>
    <font>
      <b/>
      <sz val="12"/>
      <name val="Arial"/>
      <family val="2"/>
    </font>
    <font>
      <b/>
      <sz val="11"/>
      <name val="Arial"/>
      <family val="2"/>
    </font>
    <font>
      <b/>
      <sz val="18"/>
      <name val="Arial"/>
      <family val="2"/>
    </font>
    <font>
      <b/>
      <sz val="10"/>
      <color theme="1"/>
      <name val="Arial"/>
      <family val="2"/>
    </font>
    <font>
      <sz val="10"/>
      <color theme="0"/>
      <name val="Arial"/>
      <family val="2"/>
    </font>
    <font>
      <sz val="10"/>
      <color theme="1"/>
      <name val="Arial"/>
      <family val="2"/>
    </font>
    <font>
      <b/>
      <sz val="22"/>
      <name val="Arial"/>
      <family val="2"/>
    </font>
    <font>
      <sz val="8"/>
      <color theme="1"/>
      <name val="Arial"/>
      <family val="2"/>
    </font>
    <font>
      <b/>
      <sz val="8"/>
      <name val="Arial"/>
      <family val="2"/>
    </font>
    <font>
      <b/>
      <sz val="5"/>
      <name val="Arial"/>
      <family val="2"/>
    </font>
    <font>
      <b/>
      <sz val="10"/>
      <color indexed="11"/>
      <name val="Arial"/>
      <family val="2"/>
    </font>
  </fonts>
  <fills count="18">
    <fill>
      <patternFill patternType="none"/>
    </fill>
    <fill>
      <patternFill patternType="gray125"/>
    </fill>
    <fill>
      <patternFill patternType="solid">
        <fgColor rgb="FFFFCC99"/>
      </patternFill>
    </fill>
    <fill>
      <patternFill patternType="solid">
        <fgColor rgb="FFF2F2F2"/>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indexed="24"/>
        <bgColor indexed="64"/>
      </patternFill>
    </fill>
    <fill>
      <patternFill patternType="solid">
        <fgColor theme="3" tint="-0.249977111117893"/>
        <bgColor indexed="64"/>
      </patternFill>
    </fill>
    <fill>
      <patternFill patternType="solid">
        <fgColor theme="0" tint="-0.249977111117893"/>
        <bgColor indexed="64"/>
      </patternFill>
    </fill>
    <fill>
      <patternFill patternType="solid">
        <fgColor rgb="FFDBE5F1"/>
        <bgColor indexed="64"/>
      </patternFill>
    </fill>
    <fill>
      <patternFill patternType="solid">
        <fgColor rgb="FFFFFFE0"/>
        <bgColor indexed="64"/>
      </patternFill>
    </fill>
    <fill>
      <patternFill patternType="solid">
        <fgColor indexed="42"/>
        <bgColor indexed="64"/>
      </patternFill>
    </fill>
    <fill>
      <patternFill patternType="solid">
        <fgColor rgb="FFFFFFCC"/>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s>
  <borders count="4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medium">
        <color indexed="64"/>
      </left>
      <right style="medium">
        <color indexed="64"/>
      </right>
      <top/>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bottom/>
      <diagonal/>
    </border>
    <border>
      <left style="thin">
        <color rgb="FFD3D3D3"/>
      </left>
      <right style="thin">
        <color rgb="FFD3D3D3"/>
      </right>
      <top style="thin">
        <color rgb="FFD3D3D3"/>
      </top>
      <bottom style="thin">
        <color rgb="FFD3D3D3"/>
      </bottom>
      <diagonal/>
    </border>
    <border>
      <left style="medium">
        <color indexed="64"/>
      </left>
      <right style="thin">
        <color indexed="64"/>
      </right>
      <top/>
      <bottom style="thin">
        <color indexed="64"/>
      </bottom>
      <diagonal/>
    </border>
    <border>
      <left style="thin">
        <color indexed="64"/>
      </left>
      <right/>
      <top style="medium">
        <color indexed="64"/>
      </top>
      <bottom style="thin">
        <color indexed="64"/>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8">
    <xf numFmtId="0" fontId="0" fillId="0" borderId="0"/>
    <xf numFmtId="0" fontId="1" fillId="2" borderId="1"/>
    <xf numFmtId="0" fontId="2" fillId="3" borderId="2"/>
    <xf numFmtId="0" fontId="6" fillId="0" borderId="0"/>
    <xf numFmtId="0" fontId="6" fillId="0" borderId="0"/>
    <xf numFmtId="0" fontId="6" fillId="0" borderId="0"/>
    <xf numFmtId="49" fontId="12" fillId="12" borderId="36"/>
    <xf numFmtId="0" fontId="12" fillId="14" borderId="40"/>
  </cellStyleXfs>
  <cellXfs count="87">
    <xf numFmtId="0" fontId="0" fillId="0" borderId="0" xfId="0"/>
    <xf numFmtId="0" fontId="2" fillId="5" borderId="0" xfId="2" applyFill="1" applyBorder="1" applyAlignment="1">
      <alignment vertical="top" wrapText="1"/>
    </xf>
    <xf numFmtId="0" fontId="0" fillId="5" borderId="0" xfId="0" applyFill="1" applyAlignment="1">
      <alignment vertical="top" wrapText="1"/>
    </xf>
    <xf numFmtId="0" fontId="1" fillId="5" borderId="0" xfId="1" applyFill="1" applyBorder="1" applyAlignment="1">
      <alignment vertical="top" wrapText="1"/>
    </xf>
    <xf numFmtId="0" fontId="0" fillId="5" borderId="0" xfId="0" applyFill="1" applyAlignment="1">
      <alignment horizontal="center" vertical="top" wrapText="1"/>
    </xf>
    <xf numFmtId="0" fontId="11" fillId="9" borderId="20" xfId="1" applyFont="1" applyFill="1" applyBorder="1" applyAlignment="1">
      <alignment horizontal="centerContinuous" vertical="top" wrapText="1"/>
    </xf>
    <xf numFmtId="0" fontId="11" fillId="9" borderId="5" xfId="1" applyFont="1" applyFill="1" applyBorder="1" applyAlignment="1">
      <alignment horizontal="centerContinuous" vertical="top" wrapText="1"/>
    </xf>
    <xf numFmtId="49" fontId="4" fillId="8" borderId="21" xfId="4" applyNumberFormat="1" applyFont="1" applyFill="1" applyBorder="1" applyAlignment="1">
      <alignment horizontal="centerContinuous" vertical="top" wrapText="1"/>
    </xf>
    <xf numFmtId="49" fontId="4" fillId="8" borderId="22" xfId="4" applyNumberFormat="1" applyFont="1" applyFill="1" applyBorder="1" applyAlignment="1">
      <alignment horizontal="centerContinuous" vertical="top" wrapText="1"/>
    </xf>
    <xf numFmtId="0" fontId="9" fillId="5" borderId="0" xfId="4" applyFont="1" applyFill="1" applyAlignment="1">
      <alignment horizontal="centerContinuous" vertical="center" wrapText="1"/>
    </xf>
    <xf numFmtId="0" fontId="9" fillId="5" borderId="0" xfId="4" applyFont="1" applyFill="1" applyAlignment="1">
      <alignment horizontal="centerContinuous" vertical="center"/>
    </xf>
    <xf numFmtId="0" fontId="5" fillId="5" borderId="0" xfId="4" applyFont="1" applyFill="1" applyAlignment="1">
      <alignment horizontal="centerContinuous" vertical="center" wrapText="1"/>
    </xf>
    <xf numFmtId="0" fontId="12" fillId="5" borderId="0" xfId="0" applyFont="1" applyFill="1" applyAlignment="1">
      <alignment vertical="top" wrapText="1"/>
    </xf>
    <xf numFmtId="0" fontId="13" fillId="5" borderId="0" xfId="4" applyFont="1" applyFill="1" applyAlignment="1">
      <alignment vertical="center"/>
    </xf>
    <xf numFmtId="0" fontId="5" fillId="5" borderId="0" xfId="4" applyFont="1" applyFill="1" applyAlignment="1">
      <alignment horizontal="center" vertical="center" wrapText="1"/>
    </xf>
    <xf numFmtId="0" fontId="9" fillId="5" borderId="0" xfId="4" applyFont="1" applyFill="1" applyAlignment="1">
      <alignment horizontal="center" vertical="center" wrapText="1"/>
    </xf>
    <xf numFmtId="0" fontId="0" fillId="7" borderId="3" xfId="0" applyFill="1" applyBorder="1" applyAlignment="1">
      <alignment vertical="top" wrapText="1"/>
    </xf>
    <xf numFmtId="0" fontId="3" fillId="0" borderId="3" xfId="1" applyFont="1" applyFill="1" applyBorder="1" applyAlignment="1">
      <alignment horizontal="center" vertical="center" wrapText="1"/>
    </xf>
    <xf numFmtId="0" fontId="14" fillId="5" borderId="0" xfId="0" applyFont="1" applyFill="1" applyAlignment="1">
      <alignment vertical="top" wrapText="1"/>
    </xf>
    <xf numFmtId="0" fontId="5" fillId="6" borderId="30" xfId="4" applyFont="1" applyFill="1" applyBorder="1" applyAlignment="1">
      <alignment horizontal="center" vertical="center" wrapText="1"/>
    </xf>
    <xf numFmtId="0" fontId="7" fillId="6" borderId="31" xfId="4" applyFont="1" applyFill="1" applyBorder="1" applyAlignment="1">
      <alignment horizontal="centerContinuous" vertical="center" wrapText="1"/>
    </xf>
    <xf numFmtId="49" fontId="0" fillId="10" borderId="7" xfId="0" applyNumberFormat="1" applyFill="1" applyBorder="1" applyAlignment="1">
      <alignment horizontal="center" vertical="center" wrapText="1"/>
    </xf>
    <xf numFmtId="0" fontId="15" fillId="5" borderId="0" xfId="4" applyFont="1" applyFill="1" applyAlignment="1">
      <alignment vertical="center"/>
    </xf>
    <xf numFmtId="0" fontId="16" fillId="5" borderId="0" xfId="4" applyFont="1" applyFill="1" applyAlignment="1">
      <alignment horizontal="centerContinuous" vertical="center" wrapText="1"/>
    </xf>
    <xf numFmtId="0" fontId="16" fillId="5" borderId="0" xfId="4" applyFont="1" applyFill="1" applyAlignment="1">
      <alignment horizontal="center" vertical="center" wrapText="1"/>
    </xf>
    <xf numFmtId="0" fontId="0" fillId="10" borderId="8" xfId="0" applyFill="1" applyBorder="1" applyAlignment="1">
      <alignment horizontal="center" vertical="center" wrapText="1"/>
    </xf>
    <xf numFmtId="49" fontId="0" fillId="4" borderId="10" xfId="0" applyNumberFormat="1" applyFill="1" applyBorder="1" applyAlignment="1">
      <alignment horizontal="center" vertical="center" wrapText="1"/>
    </xf>
    <xf numFmtId="0" fontId="0" fillId="10" borderId="10" xfId="0" applyFill="1" applyBorder="1" applyAlignment="1">
      <alignment horizontal="center" vertical="center" wrapText="1"/>
    </xf>
    <xf numFmtId="0" fontId="5" fillId="5" borderId="27" xfId="4" applyFont="1" applyFill="1" applyBorder="1" applyAlignment="1">
      <alignment horizontal="center" vertical="center" wrapText="1"/>
    </xf>
    <xf numFmtId="0" fontId="0" fillId="10" borderId="12" xfId="0" applyFill="1" applyBorder="1" applyAlignment="1">
      <alignment horizontal="center" vertical="center" wrapText="1"/>
    </xf>
    <xf numFmtId="0" fontId="0" fillId="7" borderId="28" xfId="0" applyFill="1" applyBorder="1" applyAlignment="1">
      <alignment vertical="top" wrapText="1"/>
    </xf>
    <xf numFmtId="0" fontId="0" fillId="7" borderId="37" xfId="0" applyFill="1" applyBorder="1" applyAlignment="1">
      <alignment vertical="top" wrapText="1"/>
    </xf>
    <xf numFmtId="49" fontId="3" fillId="7" borderId="32" xfId="5" applyNumberFormat="1" applyFont="1" applyFill="1" applyBorder="1" applyAlignment="1">
      <alignment horizontal="center" vertical="center" wrapText="1"/>
    </xf>
    <xf numFmtId="0" fontId="3" fillId="7" borderId="32" xfId="5" applyFont="1" applyFill="1" applyBorder="1" applyAlignment="1">
      <alignment horizontal="left" vertical="top" wrapText="1"/>
    </xf>
    <xf numFmtId="0" fontId="3" fillId="6" borderId="3" xfId="5" applyFont="1" applyFill="1" applyBorder="1" applyAlignment="1">
      <alignment horizontal="center" vertical="center" wrapText="1"/>
    </xf>
    <xf numFmtId="49" fontId="4" fillId="8" borderId="35" xfId="4" applyNumberFormat="1" applyFont="1" applyFill="1" applyBorder="1" applyAlignment="1">
      <alignment horizontal="centerContinuous" vertical="top" wrapText="1"/>
    </xf>
    <xf numFmtId="0" fontId="11" fillId="9" borderId="25" xfId="1" applyFont="1" applyFill="1" applyBorder="1" applyAlignment="1">
      <alignment horizontal="centerContinuous" vertical="top" wrapText="1"/>
    </xf>
    <xf numFmtId="49" fontId="3" fillId="0" borderId="37" xfId="5" applyNumberFormat="1" applyFont="1" applyBorder="1" applyAlignment="1">
      <alignment horizontal="center" vertical="center" wrapText="1"/>
    </xf>
    <xf numFmtId="0" fontId="0" fillId="0" borderId="28" xfId="0" applyBorder="1" applyAlignment="1">
      <alignment horizontal="center" vertical="center" wrapText="1"/>
    </xf>
    <xf numFmtId="0" fontId="11" fillId="9" borderId="33" xfId="1" applyFont="1" applyFill="1" applyBorder="1" applyAlignment="1">
      <alignment horizontal="centerContinuous" vertical="top" wrapText="1"/>
    </xf>
    <xf numFmtId="0" fontId="11" fillId="9" borderId="39" xfId="1" applyFont="1" applyFill="1" applyBorder="1" applyAlignment="1">
      <alignment horizontal="center" vertical="top" wrapText="1"/>
    </xf>
    <xf numFmtId="0" fontId="0" fillId="7" borderId="28" xfId="0" quotePrefix="1" applyFill="1" applyBorder="1" applyAlignment="1">
      <alignment vertical="top" wrapText="1"/>
    </xf>
    <xf numFmtId="0" fontId="0" fillId="0" borderId="0" xfId="0" applyAlignment="1">
      <alignment vertical="top" wrapText="1"/>
    </xf>
    <xf numFmtId="0" fontId="0" fillId="0" borderId="0" xfId="0" applyAlignment="1">
      <alignment horizontal="center" vertical="top" wrapText="1"/>
    </xf>
    <xf numFmtId="0" fontId="17" fillId="0" borderId="3" xfId="0" applyFont="1" applyBorder="1" applyAlignment="1">
      <alignment vertical="top" wrapText="1"/>
    </xf>
    <xf numFmtId="0" fontId="10" fillId="15" borderId="3" xfId="0" applyFont="1" applyFill="1" applyBorder="1" applyAlignment="1">
      <alignment horizontal="left" vertical="top" wrapText="1"/>
    </xf>
    <xf numFmtId="0" fontId="0" fillId="0" borderId="3" xfId="0" applyBorder="1" applyAlignment="1">
      <alignment horizontal="left" vertical="top" wrapText="1"/>
    </xf>
    <xf numFmtId="0" fontId="10" fillId="16" borderId="3" xfId="0" applyFont="1" applyFill="1" applyBorder="1" applyAlignment="1">
      <alignment horizontal="left" vertical="top" wrapText="1"/>
    </xf>
    <xf numFmtId="0" fontId="10" fillId="17" borderId="3" xfId="0" applyFont="1" applyFill="1" applyBorder="1" applyAlignment="1">
      <alignment horizontal="left" vertical="top" wrapText="1"/>
    </xf>
    <xf numFmtId="0" fontId="0" fillId="17" borderId="3" xfId="0" applyFill="1" applyBorder="1" applyAlignment="1">
      <alignment horizontal="left" vertical="top" wrapText="1"/>
    </xf>
    <xf numFmtId="0" fontId="3" fillId="0" borderId="3" xfId="0" applyFont="1" applyBorder="1" applyAlignment="1">
      <alignment vertical="top" wrapText="1"/>
    </xf>
    <xf numFmtId="0" fontId="3" fillId="14" borderId="40" xfId="7" applyFont="1" applyAlignment="1">
      <alignment horizontal="center" vertical="center" wrapText="1"/>
    </xf>
    <xf numFmtId="0" fontId="0" fillId="0" borderId="41" xfId="0" applyBorder="1"/>
    <xf numFmtId="0" fontId="0" fillId="0" borderId="42" xfId="0" applyBorder="1"/>
    <xf numFmtId="0" fontId="5" fillId="10" borderId="9" xfId="1" applyFont="1" applyFill="1" applyBorder="1" applyAlignment="1">
      <alignment horizontal="center" vertical="center" wrapText="1"/>
    </xf>
    <xf numFmtId="0" fontId="0" fillId="0" borderId="4" xfId="0" applyBorder="1"/>
    <xf numFmtId="0" fontId="8" fillId="8" borderId="7" xfId="4" applyFont="1" applyFill="1" applyBorder="1" applyAlignment="1">
      <alignment horizontal="center" vertical="top" wrapText="1"/>
    </xf>
    <xf numFmtId="0" fontId="0" fillId="0" borderId="28" xfId="0" applyBorder="1"/>
    <xf numFmtId="0" fontId="8" fillId="8" borderId="6" xfId="4" applyFont="1" applyFill="1" applyBorder="1" applyAlignment="1">
      <alignment horizontal="center" vertical="top" wrapText="1"/>
    </xf>
    <xf numFmtId="0" fontId="0" fillId="0" borderId="37" xfId="0" applyBorder="1"/>
    <xf numFmtId="0" fontId="5" fillId="10" borderId="11" xfId="1" applyFont="1" applyFill="1" applyBorder="1" applyAlignment="1">
      <alignment horizontal="center" vertical="center" wrapText="1"/>
    </xf>
    <xf numFmtId="0" fontId="0" fillId="0" borderId="43" xfId="0" applyBorder="1"/>
    <xf numFmtId="0" fontId="5" fillId="10" borderId="6" xfId="1" applyFont="1" applyFill="1" applyBorder="1" applyAlignment="1">
      <alignment horizontal="center" vertical="center" wrapText="1"/>
    </xf>
    <xf numFmtId="0" fontId="0" fillId="0" borderId="19" xfId="0" applyBorder="1"/>
    <xf numFmtId="49" fontId="8" fillId="8" borderId="44" xfId="4" applyNumberFormat="1" applyFont="1" applyFill="1" applyBorder="1" applyAlignment="1">
      <alignment horizontal="center" vertical="top" wrapText="1"/>
    </xf>
    <xf numFmtId="0" fontId="0" fillId="0" borderId="34" xfId="0" applyBorder="1"/>
    <xf numFmtId="49" fontId="4" fillId="13" borderId="45" xfId="5" applyNumberFormat="1" applyFont="1" applyFill="1" applyBorder="1" applyAlignment="1">
      <alignment horizontal="center" vertical="top" wrapText="1"/>
    </xf>
    <xf numFmtId="0" fontId="0" fillId="0" borderId="26" xfId="0" applyBorder="1"/>
    <xf numFmtId="0" fontId="0" fillId="0" borderId="13" xfId="0" applyBorder="1"/>
    <xf numFmtId="49" fontId="8" fillId="13" borderId="6" xfId="5" applyNumberFormat="1" applyFont="1" applyFill="1" applyBorder="1" applyAlignment="1">
      <alignment horizontal="center" vertical="top" wrapText="1"/>
    </xf>
    <xf numFmtId="0" fontId="8" fillId="13" borderId="7" xfId="5" applyFont="1" applyFill="1" applyBorder="1" applyAlignment="1">
      <alignment horizontal="center" vertical="top" wrapText="1"/>
    </xf>
    <xf numFmtId="0" fontId="3" fillId="11" borderId="24" xfId="4" applyFont="1" applyFill="1" applyBorder="1" applyAlignment="1">
      <alignment horizontal="center" vertical="center" wrapText="1"/>
    </xf>
    <xf numFmtId="0" fontId="0" fillId="0" borderId="24" xfId="0" applyBorder="1"/>
    <xf numFmtId="0" fontId="8" fillId="8" borderId="5" xfId="4" applyFont="1" applyFill="1" applyBorder="1" applyAlignment="1">
      <alignment horizontal="center" vertical="top" wrapText="1"/>
    </xf>
    <xf numFmtId="0" fontId="0" fillId="0" borderId="29" xfId="0" applyBorder="1"/>
    <xf numFmtId="0" fontId="8" fillId="8" borderId="38" xfId="4" applyFont="1" applyFill="1" applyBorder="1" applyAlignment="1">
      <alignment horizontal="center" vertical="top" wrapText="1"/>
    </xf>
    <xf numFmtId="0" fontId="0" fillId="0" borderId="32" xfId="0" applyBorder="1"/>
    <xf numFmtId="0" fontId="0" fillId="0" borderId="45" xfId="0" applyBorder="1" applyAlignment="1">
      <alignment horizontal="center" vertical="top" wrapText="1"/>
    </xf>
    <xf numFmtId="0" fontId="0" fillId="0" borderId="23" xfId="0" applyBorder="1"/>
    <xf numFmtId="0" fontId="0" fillId="0" borderId="18" xfId="0" applyBorder="1"/>
    <xf numFmtId="0" fontId="10" fillId="4" borderId="45" xfId="0" applyFont="1" applyFill="1" applyBorder="1" applyAlignment="1">
      <alignment horizontal="center" vertical="top" wrapText="1"/>
    </xf>
    <xf numFmtId="0" fontId="0" fillId="0" borderId="14" xfId="0" applyBorder="1"/>
    <xf numFmtId="0" fontId="0" fillId="0" borderId="15" xfId="0" applyBorder="1"/>
    <xf numFmtId="0" fontId="0" fillId="0" borderId="16" xfId="0" applyBorder="1"/>
    <xf numFmtId="0" fontId="0" fillId="0" borderId="17" xfId="0" applyBorder="1"/>
    <xf numFmtId="0" fontId="8" fillId="13" borderId="3" xfId="5" applyFont="1" applyFill="1" applyBorder="1" applyAlignment="1">
      <alignment horizontal="center" vertical="top" wrapText="1"/>
    </xf>
    <xf numFmtId="0" fontId="0" fillId="0" borderId="3" xfId="0" applyBorder="1"/>
  </cellXfs>
  <cellStyles count="8">
    <cellStyle name="Input" xfId="1" builtinId="20"/>
    <cellStyle name="Normal" xfId="0" builtinId="0"/>
    <cellStyle name="Normal 2" xfId="3" xr:uid="{00000000-0005-0000-0000-000003000000}"/>
    <cellStyle name="Normal 3" xfId="4" xr:uid="{00000000-0005-0000-0000-000004000000}"/>
    <cellStyle name="Normal 3 2" xfId="5" xr:uid="{00000000-0005-0000-0000-000005000000}"/>
    <cellStyle name="Note" xfId="7" builtinId="10"/>
    <cellStyle name="Output" xfId="2" builtinId="21"/>
    <cellStyle name="p::v Condition Cells" xfId="6" xr:uid="{00000000-0005-0000-0000-000008000000}"/>
  </cellStyles>
  <dxfs count="19">
    <dxf>
      <fill>
        <patternFill>
          <bgColor indexed="10"/>
        </patternFill>
      </fill>
    </dxf>
    <dxf>
      <fill>
        <patternFill>
          <bgColor indexed="11"/>
        </patternFill>
      </fill>
    </dxf>
    <dxf>
      <fill>
        <patternFill>
          <bgColor rgb="FFFFC000"/>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rgb="FF00B050"/>
        </patternFill>
      </fill>
    </dxf>
    <dxf>
      <fill>
        <patternFill>
          <bgColor theme="0" tint="-0.34998626667073579"/>
        </patternFill>
      </fill>
    </dxf>
    <dxf>
      <fill>
        <patternFill>
          <bgColor rgb="FFFFC000"/>
        </patternFill>
      </fill>
    </dxf>
    <dxf>
      <fill>
        <patternFill>
          <bgColor rgb="FF00B050"/>
        </patternFill>
      </fill>
    </dxf>
    <dxf>
      <fill>
        <patternFill>
          <bgColor theme="0" tint="-0.24994659260841701"/>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3" Type="http://schemas.openxmlformats.org/officeDocument/2006/relationships/externalLinkPath" Target="../../../../../../../../../../../../../Users/ROU1HC/Documents/MKS/Subaru/TR8/Build_Su12_1.101TR8/Su12_ES1TR8_Normal/rb_cl_CustLib/rb_dsm_CustDiagnosticServiceMgt/rb_drdi_CustReadDataByIdentifier/integration/rb_drdi_CustReadDataByIdentifier_SITS.xlsm" TargetMode="External"/><Relationship Id="rId2" Type="http://schemas.microsoft.com/office/2019/04/relationships/externalLinkLongPath" Target="/Users/ROU1HC/Documents/MKS/Subaru/TR8/Build_Su12_1.101TR8/Su12_ES1TR8_Normal/rb_cl_CustLib/rb_dsm_CustDiagnosticServiceMgt/rb_drdi_CustReadDataByIdentifier/integration/rb_drdi_CustReadDataByIdentifier_SITS.xlsm?D4E23497" TargetMode="External"/><Relationship Id="rId1" Type="http://schemas.openxmlformats.org/officeDocument/2006/relationships/externalLinkPath" Target="file:///\\D4E23497\rb_drdi_CustReadDataByIdentifier_SI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3"/>
    </xxl21:alternateUrls>
    <sheetNames>
      <sheetName val="Overview &amp; Summary"/>
      <sheetName val="Interface Classification List"/>
      <sheetName val="Interface Change History"/>
      <sheetName val="Integration Test Specification"/>
      <sheetName val="Integration Test Spec. Algo"/>
      <sheetName val="Developer Test Specification"/>
      <sheetName val="Fault Test Specification"/>
      <sheetName val="Instructions &amp; Work Flow"/>
      <sheetName val="Template Version History"/>
    </sheetNames>
    <sheetDataSet>
      <sheetData sheetId="0"/>
      <sheetData sheetId="1"/>
      <sheetData sheetId="2"/>
      <sheetData sheetId="3">
        <row r="30">
          <cell r="H30" t="str">
            <v>passed</v>
          </cell>
        </row>
      </sheetData>
      <sheetData sheetId="4"/>
      <sheetData sheetId="5"/>
      <sheetData sheetId="6"/>
      <sheetData sheetId="7"/>
      <sheetData sheetId="8"/>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19"/>
  <sheetViews>
    <sheetView zoomScale="85" zoomScaleNormal="85" workbookViewId="0">
      <selection activeCell="J16" sqref="J16"/>
    </sheetView>
  </sheetViews>
  <sheetFormatPr defaultColWidth="11.44140625" defaultRowHeight="13.2" outlineLevelRow="1" x14ac:dyDescent="0.25"/>
  <cols>
    <col min="1" max="1" width="3.109375" style="42" customWidth="1"/>
    <col min="2" max="2" width="35" style="42" bestFit="1" customWidth="1"/>
    <col min="3" max="3" width="9.33203125" style="42" customWidth="1"/>
    <col min="4" max="4" width="15.6640625" style="42" customWidth="1"/>
    <col min="5" max="5" width="34.109375" style="42" customWidth="1"/>
    <col min="6" max="6" width="25" style="42" customWidth="1"/>
    <col min="7" max="7" width="26.33203125" style="42" customWidth="1"/>
    <col min="8" max="8" width="50.44140625" style="42" customWidth="1"/>
    <col min="9" max="9" width="44" style="42" customWidth="1"/>
    <col min="10" max="10" width="30.88671875" style="42" customWidth="1"/>
    <col min="11" max="11" width="12" style="42" customWidth="1"/>
    <col min="12" max="12" width="18.33203125" style="43" customWidth="1"/>
    <col min="13" max="13" width="5.5546875" style="42" customWidth="1"/>
    <col min="14" max="15" width="11.44140625" style="42" customWidth="1"/>
    <col min="16" max="16" width="45.44140625" style="42" customWidth="1"/>
    <col min="17" max="19" width="11.44140625" style="42" customWidth="1"/>
    <col min="20" max="16384" width="11.44140625" style="42"/>
  </cols>
  <sheetData>
    <row r="1" spans="1:13" ht="9.75" customHeight="1" thickBot="1" x14ac:dyDescent="0.3">
      <c r="A1" s="2"/>
      <c r="B1" s="2"/>
      <c r="C1" s="2"/>
      <c r="D1" s="2"/>
      <c r="E1" s="2"/>
      <c r="F1" s="2"/>
      <c r="G1" s="2"/>
      <c r="H1" s="2"/>
      <c r="I1" s="2"/>
      <c r="J1" s="2"/>
      <c r="K1" s="2"/>
      <c r="L1" s="4"/>
      <c r="M1" s="2"/>
    </row>
    <row r="2" spans="1:13" ht="48" customHeight="1" x14ac:dyDescent="0.25">
      <c r="A2" s="1" t="s">
        <v>2</v>
      </c>
      <c r="B2" s="13" t="s">
        <v>3</v>
      </c>
      <c r="C2" s="9"/>
      <c r="D2" s="9"/>
      <c r="E2" s="10"/>
      <c r="F2" s="23"/>
      <c r="G2" s="22"/>
      <c r="H2" s="19"/>
      <c r="I2" s="51"/>
      <c r="J2" s="52"/>
      <c r="K2" s="53"/>
      <c r="L2" s="15"/>
      <c r="M2" s="2"/>
    </row>
    <row r="3" spans="1:13" ht="46.5" hidden="1" customHeight="1" outlineLevel="1" thickBot="1" x14ac:dyDescent="0.3">
      <c r="A3" s="3"/>
      <c r="B3" s="62" t="s">
        <v>4</v>
      </c>
      <c r="C3" s="63"/>
      <c r="D3" s="21" t="s">
        <v>1</v>
      </c>
      <c r="E3" s="25"/>
      <c r="F3" s="23"/>
      <c r="G3" s="14"/>
      <c r="H3" s="20" t="s">
        <v>5</v>
      </c>
      <c r="I3" s="71"/>
      <c r="J3" s="67"/>
      <c r="K3" s="72"/>
      <c r="L3" s="11"/>
      <c r="M3" s="2"/>
    </row>
    <row r="4" spans="1:13" ht="24" hidden="1" customHeight="1" outlineLevel="1" thickBot="1" x14ac:dyDescent="0.3">
      <c r="A4" s="3"/>
      <c r="B4" s="54" t="s">
        <v>6</v>
      </c>
      <c r="C4" s="55"/>
      <c r="D4" s="17" t="s">
        <v>1</v>
      </c>
      <c r="E4" s="26"/>
      <c r="F4" s="24"/>
      <c r="G4" s="11"/>
      <c r="H4" s="9"/>
      <c r="I4" s="9"/>
      <c r="J4" s="9"/>
      <c r="K4" s="9"/>
      <c r="L4" s="9"/>
      <c r="M4" s="2"/>
    </row>
    <row r="5" spans="1:13" ht="23.25" hidden="1" customHeight="1" outlineLevel="1" thickBot="1" x14ac:dyDescent="0.3">
      <c r="A5" s="3"/>
      <c r="B5" s="54" t="s">
        <v>7</v>
      </c>
      <c r="C5" s="55"/>
      <c r="D5" s="17" t="s">
        <v>1</v>
      </c>
      <c r="E5" s="26"/>
      <c r="F5" s="24"/>
      <c r="G5" s="11"/>
      <c r="H5" s="77"/>
      <c r="I5" s="9"/>
      <c r="J5" s="9"/>
      <c r="K5" s="80"/>
      <c r="L5" s="68"/>
      <c r="M5" s="2"/>
    </row>
    <row r="6" spans="1:13" ht="23.25" hidden="1" customHeight="1" outlineLevel="1" x14ac:dyDescent="0.25">
      <c r="A6" s="3"/>
      <c r="B6" s="54" t="s">
        <v>8</v>
      </c>
      <c r="C6" s="55"/>
      <c r="D6" s="17" t="s">
        <v>1</v>
      </c>
      <c r="E6" s="26"/>
      <c r="F6" s="23"/>
      <c r="G6" s="11"/>
      <c r="H6" s="78"/>
      <c r="I6" s="9"/>
      <c r="J6" s="9"/>
      <c r="K6" s="81"/>
      <c r="L6" s="82"/>
      <c r="M6" s="2"/>
    </row>
    <row r="7" spans="1:13" ht="25.5" hidden="1" customHeight="1" outlineLevel="1" x14ac:dyDescent="0.25">
      <c r="A7" s="3"/>
      <c r="B7" s="54" t="s">
        <v>9</v>
      </c>
      <c r="C7" s="55"/>
      <c r="D7" s="34" t="str">
        <f>IF(COUNTIF($J14:$J19,"Failed")&gt;0,"Failed",IF(COUNTIF($J14:$J19,"Not done")&gt;0,"Not done","Passed"))</f>
        <v>Passed</v>
      </c>
      <c r="E7" s="27" t="s">
        <v>10</v>
      </c>
      <c r="F7" s="14"/>
      <c r="G7" s="11"/>
      <c r="H7" s="78"/>
      <c r="I7" s="9"/>
      <c r="J7" s="9"/>
      <c r="K7" s="81"/>
      <c r="L7" s="82"/>
      <c r="M7" s="18"/>
    </row>
    <row r="8" spans="1:13" ht="24" hidden="1" customHeight="1" outlineLevel="1" thickBot="1" x14ac:dyDescent="0.3">
      <c r="A8" s="3"/>
      <c r="B8" s="60" t="s">
        <v>11</v>
      </c>
      <c r="C8" s="61"/>
      <c r="D8" s="28" t="str">
        <f>IF($D7="Failed","Failed",
IF(COUNTIF($D4:$D7,"coverage not fulfilled")&gt;0,"Failed",
IF(COUNTIF($D4:$D7,"Not done")&gt;0,"Not done",
"Passed")))</f>
        <v>Not done</v>
      </c>
      <c r="E8" s="29"/>
      <c r="F8" s="14"/>
      <c r="G8" s="12"/>
      <c r="H8" s="79"/>
      <c r="I8" s="9"/>
      <c r="J8" s="9"/>
      <c r="K8" s="83"/>
      <c r="L8" s="84"/>
      <c r="M8" s="2"/>
    </row>
    <row r="9" spans="1:13" ht="23.25" hidden="1" customHeight="1" outlineLevel="1" thickBot="1" x14ac:dyDescent="0.3">
      <c r="A9" s="3"/>
      <c r="B9" s="11"/>
      <c r="C9" s="12"/>
      <c r="D9" s="12"/>
      <c r="E9" s="12"/>
      <c r="F9" s="12"/>
      <c r="G9" s="12"/>
      <c r="H9" s="12"/>
      <c r="I9" s="12"/>
      <c r="J9" s="12"/>
      <c r="K9" s="12"/>
      <c r="L9" s="12"/>
      <c r="M9" s="2"/>
    </row>
    <row r="10" spans="1:13" ht="39.75" hidden="1" customHeight="1" outlineLevel="1" thickBot="1" x14ac:dyDescent="0.3">
      <c r="A10" s="3" t="s">
        <v>2</v>
      </c>
      <c r="B10" s="5" t="s">
        <v>12</v>
      </c>
      <c r="C10" s="6"/>
      <c r="D10" s="6"/>
      <c r="E10" s="6"/>
      <c r="F10" s="6"/>
      <c r="G10" s="6"/>
      <c r="H10" s="6"/>
      <c r="I10" s="6"/>
      <c r="J10" s="36"/>
      <c r="K10" s="39"/>
      <c r="L10" s="40"/>
      <c r="M10" s="2"/>
    </row>
    <row r="11" spans="1:13" ht="18.75" hidden="1" customHeight="1" outlineLevel="1" thickBot="1" x14ac:dyDescent="0.3">
      <c r="A11" s="2"/>
      <c r="B11" s="7" t="s">
        <v>13</v>
      </c>
      <c r="C11" s="8"/>
      <c r="D11" s="8"/>
      <c r="E11" s="8"/>
      <c r="F11" s="8"/>
      <c r="G11" s="8"/>
      <c r="H11" s="8"/>
      <c r="I11" s="35"/>
      <c r="J11" s="66" t="s">
        <v>0</v>
      </c>
      <c r="K11" s="67"/>
      <c r="L11" s="68"/>
      <c r="M11" s="2"/>
    </row>
    <row r="12" spans="1:13" ht="41.25" hidden="1" customHeight="1" outlineLevel="1" thickBot="1" x14ac:dyDescent="0.3">
      <c r="A12" s="2"/>
      <c r="B12" s="58" t="s">
        <v>24</v>
      </c>
      <c r="C12" s="56" t="s">
        <v>25</v>
      </c>
      <c r="D12" s="56" t="s">
        <v>20</v>
      </c>
      <c r="E12" s="56" t="s">
        <v>14</v>
      </c>
      <c r="F12" s="73" t="s">
        <v>15</v>
      </c>
      <c r="G12" s="64" t="s">
        <v>16</v>
      </c>
      <c r="H12" s="56" t="s">
        <v>17</v>
      </c>
      <c r="I12" s="75" t="s">
        <v>18</v>
      </c>
      <c r="J12" s="69" t="s">
        <v>19</v>
      </c>
      <c r="K12" s="70" t="s">
        <v>21</v>
      </c>
      <c r="L12" s="85" t="s">
        <v>22</v>
      </c>
      <c r="M12" s="2"/>
    </row>
    <row r="13" spans="1:13" ht="97.5" customHeight="1" collapsed="1" thickBot="1" x14ac:dyDescent="0.3">
      <c r="A13" s="2"/>
      <c r="B13" s="59"/>
      <c r="C13" s="57"/>
      <c r="D13" s="57"/>
      <c r="E13" s="57"/>
      <c r="F13" s="74"/>
      <c r="G13" s="65"/>
      <c r="H13" s="57"/>
      <c r="I13" s="76"/>
      <c r="J13" s="59"/>
      <c r="K13" s="57"/>
      <c r="L13" s="86"/>
      <c r="M13" s="2"/>
    </row>
    <row r="14" spans="1:13" ht="66" x14ac:dyDescent="0.25">
      <c r="A14" s="2"/>
      <c r="B14" s="31" t="s">
        <v>37</v>
      </c>
      <c r="C14" s="30" t="s">
        <v>41</v>
      </c>
      <c r="D14" s="30" t="s">
        <v>38</v>
      </c>
      <c r="E14" s="41" t="s">
        <v>40</v>
      </c>
      <c r="F14" s="41" t="s">
        <v>39</v>
      </c>
      <c r="G14" s="32" t="s">
        <v>45</v>
      </c>
      <c r="H14" s="30" t="s">
        <v>47</v>
      </c>
      <c r="I14" s="33" t="s">
        <v>50</v>
      </c>
      <c r="J14" s="37" t="s">
        <v>57</v>
      </c>
      <c r="K14" s="38" t="s">
        <v>23</v>
      </c>
      <c r="L14" s="50" t="s">
        <v>58</v>
      </c>
      <c r="M14" s="2"/>
    </row>
    <row r="15" spans="1:13" ht="91.2" customHeight="1" x14ac:dyDescent="0.25">
      <c r="A15" s="2"/>
      <c r="B15" s="31" t="s">
        <v>42</v>
      </c>
      <c r="C15" s="30" t="s">
        <v>43</v>
      </c>
      <c r="D15" s="30" t="s">
        <v>38</v>
      </c>
      <c r="E15" s="41" t="s">
        <v>46</v>
      </c>
      <c r="F15" s="41" t="s">
        <v>44</v>
      </c>
      <c r="G15" s="32" t="s">
        <v>45</v>
      </c>
      <c r="H15" s="30" t="s">
        <v>48</v>
      </c>
      <c r="I15" s="33" t="s">
        <v>49</v>
      </c>
      <c r="J15" s="37" t="s">
        <v>57</v>
      </c>
      <c r="K15" s="38" t="s">
        <v>23</v>
      </c>
      <c r="L15" s="50" t="s">
        <v>58</v>
      </c>
      <c r="M15" s="2"/>
    </row>
    <row r="16" spans="1:13" ht="64.8" customHeight="1" x14ac:dyDescent="0.25">
      <c r="A16" s="2"/>
      <c r="B16" s="31" t="s">
        <v>51</v>
      </c>
      <c r="C16" s="30" t="s">
        <v>52</v>
      </c>
      <c r="D16" s="30" t="s">
        <v>38</v>
      </c>
      <c r="E16" s="41" t="s">
        <v>53</v>
      </c>
      <c r="F16" s="41" t="s">
        <v>54</v>
      </c>
      <c r="G16" s="32" t="s">
        <v>45</v>
      </c>
      <c r="H16" s="30" t="s">
        <v>56</v>
      </c>
      <c r="I16" s="33" t="s">
        <v>55</v>
      </c>
      <c r="J16" s="37" t="s">
        <v>57</v>
      </c>
      <c r="K16" s="38" t="s">
        <v>23</v>
      </c>
      <c r="L16" s="50" t="s">
        <v>58</v>
      </c>
      <c r="M16" s="2"/>
    </row>
    <row r="17" spans="1:13" x14ac:dyDescent="0.25">
      <c r="A17" s="2"/>
      <c r="B17" s="31"/>
      <c r="C17" s="30"/>
      <c r="D17" s="30"/>
      <c r="E17" s="41"/>
      <c r="F17" s="30"/>
      <c r="G17" s="32"/>
      <c r="H17" s="30"/>
      <c r="I17" s="33"/>
      <c r="J17" s="37"/>
      <c r="K17" s="38"/>
      <c r="L17" s="44"/>
      <c r="M17" s="2"/>
    </row>
    <row r="18" spans="1:13" x14ac:dyDescent="0.25">
      <c r="A18" s="2"/>
      <c r="B18" s="31"/>
      <c r="C18" s="30"/>
      <c r="D18" s="30"/>
      <c r="E18" s="41"/>
      <c r="F18" s="30"/>
      <c r="G18" s="32"/>
      <c r="H18" s="30"/>
      <c r="I18" s="33"/>
      <c r="J18" s="37"/>
      <c r="K18" s="38"/>
      <c r="L18" s="44"/>
      <c r="M18" s="2"/>
    </row>
    <row r="19" spans="1:13" x14ac:dyDescent="0.25">
      <c r="A19" s="2"/>
      <c r="B19" s="31"/>
      <c r="C19" s="16"/>
      <c r="D19" s="30"/>
      <c r="E19" s="41"/>
      <c r="F19" s="30"/>
      <c r="G19" s="32"/>
      <c r="H19" s="30"/>
      <c r="I19" s="33"/>
      <c r="J19" s="37"/>
      <c r="K19" s="38"/>
      <c r="L19" s="44"/>
      <c r="M19" s="2"/>
    </row>
  </sheetData>
  <mergeCells count="22">
    <mergeCell ref="I3:K3"/>
    <mergeCell ref="F12:F13"/>
    <mergeCell ref="I12:I13"/>
    <mergeCell ref="H5:H8"/>
    <mergeCell ref="K5:L8"/>
    <mergeCell ref="L12:L13"/>
    <mergeCell ref="I2:K2"/>
    <mergeCell ref="B7:C7"/>
    <mergeCell ref="E12:E13"/>
    <mergeCell ref="C12:C13"/>
    <mergeCell ref="B12:B13"/>
    <mergeCell ref="D12:D13"/>
    <mergeCell ref="B8:C8"/>
    <mergeCell ref="B3:C3"/>
    <mergeCell ref="B4:C4"/>
    <mergeCell ref="B5:C5"/>
    <mergeCell ref="B6:C6"/>
    <mergeCell ref="H12:H13"/>
    <mergeCell ref="G12:G13"/>
    <mergeCell ref="J11:L11"/>
    <mergeCell ref="J12:J13"/>
    <mergeCell ref="K12:K13"/>
  </mergeCells>
  <conditionalFormatting sqref="D3 D9">
    <cfRule type="cellIs" dxfId="18" priority="96" operator="equal">
      <formula>"failed"</formula>
    </cfRule>
    <cfRule type="cellIs" dxfId="17" priority="97" operator="equal">
      <formula>"passed"</formula>
    </cfRule>
  </conditionalFormatting>
  <conditionalFormatting sqref="D4:D6">
    <cfRule type="containsText" dxfId="16" priority="90" operator="containsText" text="coverage not fulfilled">
      <formula>NOT(ISERROR(SEARCH("coverage not fulfilled",D4)))</formula>
    </cfRule>
    <cfRule type="containsText" dxfId="15" priority="91" operator="containsText" text="100">
      <formula>NOT(ISERROR(SEARCH("100",D4)))</formula>
    </cfRule>
  </conditionalFormatting>
  <conditionalFormatting sqref="D8">
    <cfRule type="cellIs" dxfId="14" priority="80" operator="equal">
      <formula>"Failed"</formula>
    </cfRule>
    <cfRule type="cellIs" dxfId="13" priority="81" operator="equal">
      <formula>"Not Done"</formula>
    </cfRule>
    <cfRule type="cellIs" dxfId="12" priority="82" operator="equal">
      <formula>"Passed"</formula>
    </cfRule>
  </conditionalFormatting>
  <conditionalFormatting sqref="G14:G18">
    <cfRule type="cellIs" dxfId="11" priority="79" operator="equal">
      <formula>"Manual-Mandatory"</formula>
    </cfRule>
  </conditionalFormatting>
  <conditionalFormatting sqref="D7">
    <cfRule type="cellIs" dxfId="10" priority="68" operator="equal">
      <formula>"Not done"</formula>
    </cfRule>
    <cfRule type="cellIs" dxfId="9" priority="69" operator="equal">
      <formula>"passed"</formula>
    </cfRule>
    <cfRule type="cellIs" dxfId="8" priority="70" operator="equal">
      <formula>"failed"</formula>
    </cfRule>
  </conditionalFormatting>
  <conditionalFormatting sqref="K14:K19">
    <cfRule type="expression" dxfId="7" priority="67">
      <formula>AND((I14= "yes"), (K14 = "No execution"))</formula>
    </cfRule>
  </conditionalFormatting>
  <conditionalFormatting sqref="J12">
    <cfRule type="cellIs" dxfId="6" priority="65" stopIfTrue="1" operator="equal">
      <formula>"Passed"</formula>
    </cfRule>
    <cfRule type="cellIs" dxfId="5" priority="66" stopIfTrue="1" operator="equal">
      <formula>"Failed"</formula>
    </cfRule>
  </conditionalFormatting>
  <conditionalFormatting sqref="J14:J18">
    <cfRule type="cellIs" dxfId="4" priority="63" stopIfTrue="1" operator="equal">
      <formula>"Passed"</formula>
    </cfRule>
    <cfRule type="cellIs" dxfId="3" priority="64" stopIfTrue="1" operator="equal">
      <formula>"Failed"</formula>
    </cfRule>
  </conditionalFormatting>
  <conditionalFormatting sqref="G19">
    <cfRule type="cellIs" dxfId="2" priority="7" operator="equal">
      <formula>"Manual-Mandatory"</formula>
    </cfRule>
  </conditionalFormatting>
  <conditionalFormatting sqref="J19">
    <cfRule type="cellIs" dxfId="1" priority="5" stopIfTrue="1" operator="equal">
      <formula>"Passed"</formula>
    </cfRule>
    <cfRule type="cellIs" dxfId="0" priority="6" stopIfTrue="1" operator="equal">
      <formula>"Failed"</formula>
    </cfRule>
  </conditionalFormatting>
  <dataValidations count="5">
    <dataValidation type="list" showInputMessage="1" showErrorMessage="1" sqref="D3 D9" xr:uid="{00000000-0002-0000-0200-000000000000}">
      <formula1>"Not done,passed,failed"</formula1>
    </dataValidation>
    <dataValidation type="list" showInputMessage="1" showErrorMessage="1" sqref="D4:D6" xr:uid="{00000000-0002-0000-0200-000001000000}">
      <formula1>"Not done,100% or only standard deviations,100% with deviations, coverage not fulfilled"</formula1>
    </dataValidation>
    <dataValidation type="list" showInputMessage="1" showErrorMessage="1" sqref="G14:G19" xr:uid="{00000000-0002-0000-0200-000002000000}">
      <formula1>"Functional Test,Boundary Value Analysis,Equivalence Class Partitioning,MC/DC,Error Guessing,Decision Tables, Others"</formula1>
    </dataValidation>
    <dataValidation type="list" showInputMessage="1" showErrorMessage="1" sqref="J14:J19" xr:uid="{00000000-0002-0000-0200-000003000000}">
      <formula1>"Passed,Failed,Not done"</formula1>
    </dataValidation>
    <dataValidation type="list" showInputMessage="1" showErrorMessage="1" sqref="K14:K19" xr:uid="{00000000-0002-0000-0200-000004000000}">
      <formula1>"Autogen,Manual"</formula1>
    </dataValidation>
  </dataValidations>
  <pageMargins left="0.35433070866141742" right="0.39370078740157483" top="0.55118110236220474" bottom="0.78740157480314965" header="0.31496062992125978" footer="0.31496062992125978"/>
  <pageSetup paperSize="9" orientation="landscape"/>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02830-375D-423D-8785-6644918D9C93}">
  <dimension ref="A1:D6"/>
  <sheetViews>
    <sheetView tabSelected="1" zoomScale="130" zoomScaleNormal="130" workbookViewId="0">
      <selection activeCell="B15" sqref="B15"/>
    </sheetView>
  </sheetViews>
  <sheetFormatPr defaultRowHeight="13.2" x14ac:dyDescent="0.25"/>
  <cols>
    <col min="1" max="1" width="70.33203125" customWidth="1"/>
    <col min="2" max="2" width="8.6640625" bestFit="1" customWidth="1"/>
    <col min="4" max="4" width="11.44140625" bestFit="1" customWidth="1"/>
  </cols>
  <sheetData>
    <row r="1" spans="1:4" x14ac:dyDescent="0.25">
      <c r="A1" s="45" t="s">
        <v>26</v>
      </c>
      <c r="B1" s="45" t="s">
        <v>27</v>
      </c>
      <c r="C1" s="45" t="s">
        <v>28</v>
      </c>
      <c r="D1" s="45" t="s">
        <v>29</v>
      </c>
    </row>
    <row r="2" spans="1:4" ht="26.4" x14ac:dyDescent="0.25">
      <c r="A2" s="46" t="s">
        <v>60</v>
      </c>
      <c r="B2" s="46" t="s">
        <v>30</v>
      </c>
      <c r="C2" s="46" t="s">
        <v>31</v>
      </c>
      <c r="D2" s="46" t="s">
        <v>31</v>
      </c>
    </row>
    <row r="3" spans="1:4" ht="26.4" x14ac:dyDescent="0.25">
      <c r="A3" s="46" t="s">
        <v>59</v>
      </c>
      <c r="B3" s="46" t="s">
        <v>32</v>
      </c>
      <c r="C3" s="46" t="s">
        <v>30</v>
      </c>
      <c r="D3" s="46" t="s">
        <v>31</v>
      </c>
    </row>
    <row r="4" spans="1:4" ht="26.4" x14ac:dyDescent="0.25">
      <c r="A4" s="46" t="s">
        <v>61</v>
      </c>
      <c r="B4" s="46" t="s">
        <v>32</v>
      </c>
      <c r="C4" s="46" t="s">
        <v>31</v>
      </c>
      <c r="D4" s="46" t="s">
        <v>30</v>
      </c>
    </row>
    <row r="5" spans="1:4" x14ac:dyDescent="0.25">
      <c r="A5" s="47" t="s">
        <v>33</v>
      </c>
      <c r="B5" s="47" t="s">
        <v>31</v>
      </c>
      <c r="C5" s="47" t="s">
        <v>30</v>
      </c>
      <c r="D5" s="47" t="s">
        <v>30</v>
      </c>
    </row>
    <row r="6" spans="1:4" x14ac:dyDescent="0.25">
      <c r="A6" s="48" t="s">
        <v>34</v>
      </c>
      <c r="B6" s="49" t="s">
        <v>35</v>
      </c>
      <c r="C6" s="49" t="s">
        <v>35</v>
      </c>
      <c r="D6" s="49" t="s">
        <v>36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Unit Design Park</vt:lpstr>
      <vt:lpstr>Decision_Table</vt:lpstr>
      <vt:lpstr>C0_coverage</vt:lpstr>
      <vt:lpstr>Start_design_IDs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Denis Ludwig</dc:creator>
  <cp:lastModifiedBy>Nhật Tiến Đình Phan</cp:lastModifiedBy>
  <cp:lastPrinted>2014-04-07T13:30:53Z</cp:lastPrinted>
  <dcterms:created xsi:type="dcterms:W3CDTF">2012-10-25T09:06:45Z</dcterms:created>
  <dcterms:modified xsi:type="dcterms:W3CDTF">2026-09-18T10:41:08Z</dcterms:modified>
</cp:coreProperties>
</file>